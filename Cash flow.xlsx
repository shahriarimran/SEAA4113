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0302\Downloads\"/>
    </mc:Choice>
  </mc:AlternateContent>
  <xr:revisionPtr revIDLastSave="0" documentId="13_ncr:1_{D1CBE349-8525-4C97-BC35-0146735B52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N37" i="1" s="1"/>
  <c r="N32" i="1"/>
  <c r="K32" i="1"/>
  <c r="J32" i="1"/>
  <c r="I32" i="1"/>
  <c r="H32" i="1"/>
  <c r="E36" i="1"/>
  <c r="E37" i="1" s="1"/>
  <c r="E38" i="1" s="1"/>
  <c r="G35" i="1"/>
  <c r="F32" i="1"/>
  <c r="G32" i="1"/>
  <c r="E32" i="1"/>
  <c r="M32" i="1"/>
  <c r="E39" i="1" l="1"/>
  <c r="F34" i="1" l="1"/>
  <c r="F36" i="1" s="1"/>
  <c r="F37" i="1" s="1"/>
  <c r="F38" i="1" s="1"/>
  <c r="M34" i="1"/>
  <c r="M36" i="1" s="1"/>
  <c r="N34" i="1"/>
  <c r="N39" i="1" s="1"/>
  <c r="L32" i="1"/>
  <c r="J34" i="1"/>
  <c r="J36" i="1" s="1"/>
  <c r="J37" i="1" s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E35" i="1"/>
  <c r="G26" i="1"/>
  <c r="I53" i="1"/>
  <c r="J53" i="1"/>
  <c r="H53" i="1"/>
  <c r="E43" i="1"/>
  <c r="I26" i="1"/>
  <c r="H26" i="1"/>
  <c r="M37" i="1" l="1"/>
  <c r="M39" i="1" s="1"/>
  <c r="N40" i="1"/>
  <c r="O42" i="1" s="1"/>
  <c r="E44" i="1"/>
  <c r="F35" i="1"/>
  <c r="H34" i="1"/>
  <c r="H36" i="1" s="1"/>
  <c r="I34" i="1"/>
  <c r="I36" i="1" s="1"/>
  <c r="F39" i="1"/>
  <c r="L34" i="1"/>
  <c r="L36" i="1" s="1"/>
  <c r="J39" i="1"/>
  <c r="E34" i="1"/>
  <c r="K34" i="1"/>
  <c r="K36" i="1" s="1"/>
  <c r="G34" i="1"/>
  <c r="G36" i="1" s="1"/>
  <c r="M40" i="1" l="1"/>
  <c r="N42" i="1" s="1"/>
  <c r="H37" i="1"/>
  <c r="H39" i="1" s="1"/>
  <c r="H40" i="1" s="1"/>
  <c r="G37" i="1"/>
  <c r="G39" i="1" s="1"/>
  <c r="L37" i="1"/>
  <c r="L39" i="1" s="1"/>
  <c r="K37" i="1"/>
  <c r="K39" i="1" s="1"/>
  <c r="F40" i="1"/>
  <c r="G42" i="1" s="1"/>
  <c r="I37" i="1"/>
  <c r="I39" i="1" s="1"/>
  <c r="E40" i="1"/>
  <c r="F44" i="1"/>
  <c r="J40" i="1"/>
  <c r="K42" i="1" s="1"/>
  <c r="G40" i="1" l="1"/>
  <c r="H42" i="1" s="1"/>
  <c r="K40" i="1"/>
  <c r="L42" i="1" s="1"/>
  <c r="I40" i="1"/>
  <c r="J42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F42" i="1"/>
  <c r="F43" i="1" s="1"/>
  <c r="G43" i="1" s="1"/>
  <c r="I42" i="1"/>
  <c r="L40" i="1"/>
  <c r="M42" i="1" s="1"/>
  <c r="G38" i="1"/>
  <c r="H35" i="1"/>
  <c r="G44" i="1"/>
  <c r="H43" i="1" l="1"/>
  <c r="I43" i="1" s="1"/>
  <c r="J43" i="1" s="1"/>
  <c r="K44" i="1" s="1"/>
  <c r="I35" i="1"/>
  <c r="H38" i="1"/>
  <c r="H44" i="1" l="1"/>
  <c r="K43" i="1"/>
  <c r="L43" i="1" s="1"/>
  <c r="M43" i="1" s="1"/>
  <c r="N43" i="1" s="1"/>
  <c r="I44" i="1"/>
  <c r="J35" i="1"/>
  <c r="I38" i="1"/>
  <c r="K35" i="1" l="1"/>
  <c r="J44" i="1"/>
  <c r="J38" i="1"/>
  <c r="L35" i="1" l="1"/>
  <c r="K38" i="1"/>
  <c r="M35" i="1" l="1"/>
  <c r="L44" i="1"/>
  <c r="L38" i="1"/>
  <c r="N35" i="1" l="1"/>
  <c r="N44" i="1" s="1"/>
  <c r="M44" i="1"/>
  <c r="M38" i="1"/>
  <c r="N38" i="1" s="1"/>
</calcChain>
</file>

<file path=xl/sharedStrings.xml><?xml version="1.0" encoding="utf-8"?>
<sst xmlns="http://schemas.openxmlformats.org/spreadsheetml/2006/main" count="53" uniqueCount="35">
  <si>
    <t>A</t>
  </si>
  <si>
    <t>B</t>
  </si>
  <si>
    <t>C</t>
  </si>
  <si>
    <t>D</t>
  </si>
  <si>
    <t>E</t>
  </si>
  <si>
    <t>F</t>
  </si>
  <si>
    <t>May</t>
  </si>
  <si>
    <t>Monthly Cost</t>
  </si>
  <si>
    <t>Monthly Value</t>
  </si>
  <si>
    <t>Cash required</t>
  </si>
  <si>
    <t>G</t>
  </si>
  <si>
    <t>H</t>
  </si>
  <si>
    <t>Value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</si>
  <si>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</si>
  <si>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</si>
  <si>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</si>
  <si>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</si>
  <si>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</si>
  <si>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</si>
  <si>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</si>
  <si>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</si>
  <si>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</si>
  <si>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</si>
  <si>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</si>
  <si>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Profit</t>
  </si>
  <si>
    <t>Cummulative montly cost (Cash out)</t>
  </si>
  <si>
    <t>Retention</t>
  </si>
  <si>
    <t>Cummulative Retention</t>
  </si>
  <si>
    <t>Monthly Received</t>
  </si>
  <si>
    <t>Cumulative Monthly Received (Cash In)</t>
  </si>
  <si>
    <t>h</t>
  </si>
  <si>
    <t>Sept</t>
  </si>
  <si>
    <t>Cummulative montly value (Cash out)</t>
  </si>
  <si>
    <t>Monthly Claims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</si>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</sst>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3" borderId="0" applyNumberFormat="0" applyFon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9" fontId="3" fillId="0" borderId="0" xfId="0" applyNumberFormat="1" applyFont="1"/>
    <xf numFmtId="9" fontId="3" fillId="0" borderId="0" xfId="1" applyFont="1"/>
    <xf numFmtId="1" fontId="3" fillId="0" borderId="0" xfId="0" applyNumberFormat="1" applyFont="1"/>
    <xf numFmtId="0" fontId="3" fillId="2" borderId="0" xfId="0" applyFont="1" applyFill="1"/>
    <xf numFmtId="0" fontId="4" fillId="0" borderId="0" xfId="0" applyFont="1"/>
    <xf numFmtId="1" fontId="4" fillId="0" borderId="0" xfId="0" applyNumberFormat="1" applyFont="1"/>
    <xf numFmtId="0" fontId="4" fillId="3" borderId="0" xfId="2" applyFont="1"/>
  </cellXfs>
  <cellStyles count="3">
    <cellStyle name="40% - Accent2" xfId="2" builtinId="35" customBuiltin="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R58"/>
  <sheetViews>
    <sheetView tabSelected="1" topLeftCell="A22" zoomScale="80" zoomScaleNormal="80" workbookViewId="0">
      <selection activeCell="E47" sqref="E47"/>
    </sheetView>
  </sheetViews>
  <sheetFormatPr defaultRowHeight="14.5" x14ac:dyDescent="0.35"/>
  <cols>
    <col min="4" max="4" width="32.6328125" bestFit="1" customWidth="1"/>
    <col min="7" max="9" width="12" bestFit="1" customWidth="1"/>
  </cols>
  <sheetData>
    <row r="4" spans="3:3" x14ac:dyDescent="0.35">
      <c r="C4" s="1"/>
    </row>
    <row r="21" spans="2:18" x14ac:dyDescent="0.35">
      <c r="B21" s="2"/>
      <c r="C21" s="2"/>
      <c r="D21" s="2" t="s">
        <v>24</v>
      </c>
      <c r="E21" s="3">
        <v>0.15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 ht="14.5" customHeight="1" x14ac:dyDescent="0.35">
      <c r="B22" s="2"/>
      <c r="C22" s="2"/>
      <c r="D22" s="2" t="s">
        <v>26</v>
      </c>
      <c r="E22" s="4">
        <v>0.05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 x14ac:dyDescent="0.35">
      <c r="B23" s="2"/>
      <c r="C23" s="2" t="s">
        <v>12</v>
      </c>
      <c r="D23" s="2"/>
      <c r="E23" s="9" t="s">
        <v>22</v>
      </c>
      <c r="F23" s="9" t="s">
        <v>23</v>
      </c>
      <c r="G23" s="9" t="s">
        <v>13</v>
      </c>
      <c r="H23" s="9" t="s">
        <v>14</v>
      </c>
      <c r="I23" s="9" t="s">
        <v>15</v>
      </c>
      <c r="J23" s="9" t="s">
        <v>16</v>
      </c>
      <c r="K23" s="9" t="s">
        <v>6</v>
      </c>
      <c r="L23" s="9" t="s">
        <v>17</v>
      </c>
      <c r="M23" s="9" t="s">
        <v>18</v>
      </c>
      <c r="N23" s="9" t="s">
        <v>19</v>
      </c>
      <c r="O23" s="9" t="s">
        <v>31</v>
      </c>
      <c r="P23" s="2"/>
      <c r="Q23" s="2"/>
      <c r="R23" s="2"/>
    </row>
    <row r="24" spans="2:18" x14ac:dyDescent="0.35">
      <c r="B24" s="2" t="s">
        <v>0</v>
      </c>
      <c r="C24" s="2">
        <v>800000</v>
      </c>
      <c r="D24" s="2"/>
      <c r="E24" s="2">
        <v>0.5</v>
      </c>
      <c r="F24" s="2">
        <v>0.5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 x14ac:dyDescent="0.35">
      <c r="B25" s="2" t="s">
        <v>1</v>
      </c>
      <c r="C25" s="2">
        <v>300000</v>
      </c>
      <c r="D25" s="2"/>
      <c r="E25" s="2"/>
      <c r="F25" s="2">
        <v>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 x14ac:dyDescent="0.35">
      <c r="B26" s="2" t="s">
        <v>2</v>
      </c>
      <c r="C26" s="2">
        <v>600000</v>
      </c>
      <c r="D26" s="2"/>
      <c r="E26" s="2"/>
      <c r="F26" s="2"/>
      <c r="G26" s="2">
        <f>1/3</f>
        <v>0.33333333333333331</v>
      </c>
      <c r="H26" s="2">
        <f>1/3</f>
        <v>0.33333333333333331</v>
      </c>
      <c r="I26" s="2">
        <f t="shared" ref="I26" si="0">1/3</f>
        <v>0.33333333333333331</v>
      </c>
      <c r="J26" s="2"/>
      <c r="K26" s="2"/>
      <c r="L26" s="2"/>
      <c r="M26" s="2"/>
      <c r="N26" s="2"/>
      <c r="O26" s="2"/>
      <c r="P26" s="2"/>
      <c r="Q26" s="2"/>
      <c r="R26" s="2"/>
    </row>
    <row r="27" spans="2:18" x14ac:dyDescent="0.35">
      <c r="B27" s="2" t="s">
        <v>3</v>
      </c>
      <c r="C27" s="2">
        <v>1600000</v>
      </c>
      <c r="D27" s="2"/>
      <c r="E27" s="2"/>
      <c r="F27" s="2"/>
      <c r="G27" s="2"/>
      <c r="H27" s="2">
        <v>0.25</v>
      </c>
      <c r="I27" s="2">
        <v>0.25</v>
      </c>
      <c r="J27" s="2">
        <v>0.25</v>
      </c>
      <c r="K27" s="2">
        <v>0.25</v>
      </c>
      <c r="L27" s="2"/>
      <c r="M27" s="2"/>
      <c r="N27" s="2"/>
      <c r="O27" s="2"/>
      <c r="P27" s="2"/>
      <c r="Q27" s="2"/>
      <c r="R27" s="2"/>
    </row>
    <row r="28" spans="2:18" x14ac:dyDescent="0.35">
      <c r="B28" s="2" t="s">
        <v>4</v>
      </c>
      <c r="C28" s="2">
        <v>800000</v>
      </c>
      <c r="D28" s="2"/>
      <c r="E28" s="2"/>
      <c r="F28" s="2"/>
      <c r="G28" s="2"/>
      <c r="H28" s="2"/>
      <c r="I28" s="2"/>
      <c r="J28" s="2">
        <v>0.5</v>
      </c>
      <c r="K28" s="2">
        <v>0.5</v>
      </c>
      <c r="L28" s="2"/>
      <c r="M28" s="2"/>
      <c r="N28" s="2"/>
      <c r="O28" s="2"/>
      <c r="P28" s="2"/>
      <c r="Q28" s="2"/>
      <c r="R28" s="2"/>
    </row>
    <row r="29" spans="2:18" x14ac:dyDescent="0.35">
      <c r="B29" s="2" t="s">
        <v>5</v>
      </c>
      <c r="C29" s="2">
        <v>1200000</v>
      </c>
      <c r="D29" s="2"/>
      <c r="E29" s="2"/>
      <c r="F29" s="2"/>
      <c r="G29" s="2"/>
      <c r="H29" s="2"/>
      <c r="I29" s="2"/>
      <c r="J29" s="2"/>
      <c r="K29" s="2"/>
      <c r="L29" s="2">
        <v>0.5</v>
      </c>
      <c r="M29" s="2">
        <v>0.5</v>
      </c>
      <c r="N29" s="2"/>
      <c r="O29" s="2"/>
      <c r="P29" s="2"/>
      <c r="Q29" s="2"/>
      <c r="R29" s="2"/>
    </row>
    <row r="30" spans="2:18" x14ac:dyDescent="0.35">
      <c r="B30" s="2" t="s">
        <v>10</v>
      </c>
      <c r="C30" s="2">
        <v>400000</v>
      </c>
      <c r="D30" s="2"/>
      <c r="E30" s="2"/>
      <c r="F30" s="2"/>
      <c r="G30" s="2"/>
      <c r="H30" s="2"/>
      <c r="I30" s="2"/>
      <c r="J30" s="2"/>
      <c r="K30" s="2">
        <v>1</v>
      </c>
      <c r="L30" s="2"/>
      <c r="M30" s="2"/>
      <c r="N30" s="2"/>
      <c r="O30" s="2"/>
      <c r="P30" s="2"/>
      <c r="Q30" s="2"/>
      <c r="R30" s="2"/>
    </row>
    <row r="31" spans="2:18" x14ac:dyDescent="0.35">
      <c r="B31" s="2" t="s">
        <v>11</v>
      </c>
      <c r="C31" s="2">
        <v>500000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1</v>
      </c>
      <c r="O31" s="2"/>
      <c r="P31" s="2"/>
      <c r="Q31" s="2"/>
      <c r="R31" s="2">
        <f>$C$26</f>
        <v>600000</v>
      </c>
    </row>
    <row r="32" spans="2:18" x14ac:dyDescent="0.35">
      <c r="B32" s="2"/>
      <c r="C32" s="2"/>
      <c r="D32" s="2" t="s">
        <v>34</v>
      </c>
      <c r="E32" s="7">
        <f>C24*E24</f>
        <v>400000</v>
      </c>
      <c r="F32" s="7">
        <f>$C$24*F24+C25</f>
        <v>700000</v>
      </c>
      <c r="G32" s="8">
        <f>$C$26*G26</f>
        <v>200000</v>
      </c>
      <c r="H32" s="8">
        <f>$C$26*H26+($C$27*H27)</f>
        <v>600000</v>
      </c>
      <c r="I32" s="8">
        <f>$C$26*I26+($C$27*I27)</f>
        <v>600000</v>
      </c>
      <c r="J32" s="7">
        <f>$C$27*J27+($C$28*J28)</f>
        <v>800000</v>
      </c>
      <c r="K32" s="7">
        <f>$C$27*K27+($C$28*K28)+C30</f>
        <v>1200000</v>
      </c>
      <c r="L32" s="7">
        <f>$C$29*L29</f>
        <v>600000</v>
      </c>
      <c r="M32" s="7">
        <f>$C$29*M29</f>
        <v>600000</v>
      </c>
      <c r="N32" s="7">
        <f>C31*N31</f>
        <v>500000</v>
      </c>
      <c r="O32" s="2"/>
      <c r="P32" s="2"/>
      <c r="Q32" s="2"/>
      <c r="R32" s="2">
        <f t="shared" ref="R32:R43" si="1">$C$26</f>
        <v>600000</v>
      </c>
    </row>
    <row r="33" spans="2:18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>
        <f t="shared" si="1"/>
        <v>600000</v>
      </c>
    </row>
    <row r="34" spans="2:18" x14ac:dyDescent="0.35">
      <c r="B34" s="2"/>
      <c r="C34" s="2"/>
      <c r="D34" s="2" t="s">
        <v>7</v>
      </c>
      <c r="E34" s="2">
        <f>E32</f>
        <v>400000</v>
      </c>
      <c r="F34" s="2">
        <f t="shared" ref="F34:N34" si="2">F32</f>
        <v>700000</v>
      </c>
      <c r="G34" s="2">
        <f t="shared" si="2"/>
        <v>200000</v>
      </c>
      <c r="H34" s="5">
        <f t="shared" si="2"/>
        <v>600000</v>
      </c>
      <c r="I34" s="5">
        <f t="shared" si="2"/>
        <v>600000</v>
      </c>
      <c r="J34" s="2">
        <f t="shared" si="2"/>
        <v>800000</v>
      </c>
      <c r="K34" s="2">
        <f t="shared" si="2"/>
        <v>1200000</v>
      </c>
      <c r="L34" s="2">
        <f t="shared" si="2"/>
        <v>600000</v>
      </c>
      <c r="M34" s="2">
        <f t="shared" si="2"/>
        <v>600000</v>
      </c>
      <c r="N34" s="2">
        <f t="shared" si="2"/>
        <v>500000</v>
      </c>
      <c r="O34" s="2"/>
      <c r="P34" s="2"/>
      <c r="Q34" s="2"/>
      <c r="R34" s="2">
        <f t="shared" si="1"/>
        <v>600000</v>
      </c>
    </row>
    <row r="35" spans="2:18" x14ac:dyDescent="0.35">
      <c r="B35" s="2"/>
      <c r="C35" s="2"/>
      <c r="D35" s="2" t="s">
        <v>25</v>
      </c>
      <c r="E35" s="2">
        <f>E32</f>
        <v>400000</v>
      </c>
      <c r="F35" s="2">
        <f>E35+F34</f>
        <v>1100000</v>
      </c>
      <c r="G35" s="2">
        <f>F35+G34</f>
        <v>1300000</v>
      </c>
      <c r="H35" s="5">
        <f t="shared" ref="G35:N35" si="3">G35+H34</f>
        <v>1900000</v>
      </c>
      <c r="I35" s="5">
        <f t="shared" si="3"/>
        <v>2500000</v>
      </c>
      <c r="J35" s="2">
        <f t="shared" si="3"/>
        <v>3300000</v>
      </c>
      <c r="K35" s="2">
        <f t="shared" si="3"/>
        <v>4500000</v>
      </c>
      <c r="L35" s="2">
        <f t="shared" si="3"/>
        <v>5100000</v>
      </c>
      <c r="M35" s="2">
        <f t="shared" si="3"/>
        <v>5700000</v>
      </c>
      <c r="N35" s="2">
        <f t="shared" si="3"/>
        <v>6200000</v>
      </c>
      <c r="O35" s="2"/>
      <c r="P35" s="2"/>
      <c r="Q35" s="2"/>
      <c r="R35" s="2">
        <f t="shared" si="1"/>
        <v>600000</v>
      </c>
    </row>
    <row r="36" spans="2:18" x14ac:dyDescent="0.35">
      <c r="B36" s="2"/>
      <c r="C36" s="2"/>
      <c r="D36" s="2" t="s">
        <v>24</v>
      </c>
      <c r="E36" s="2">
        <f>E34*$E$21</f>
        <v>60000</v>
      </c>
      <c r="F36" s="2">
        <f t="shared" ref="F36:N36" si="4">F34*$E$21</f>
        <v>105000</v>
      </c>
      <c r="G36" s="2">
        <f t="shared" si="4"/>
        <v>30000</v>
      </c>
      <c r="H36" s="2">
        <f t="shared" si="4"/>
        <v>90000</v>
      </c>
      <c r="I36" s="2">
        <f t="shared" si="4"/>
        <v>90000</v>
      </c>
      <c r="J36" s="2">
        <f t="shared" si="4"/>
        <v>120000</v>
      </c>
      <c r="K36" s="2">
        <f t="shared" si="4"/>
        <v>180000</v>
      </c>
      <c r="L36" s="2">
        <f t="shared" si="4"/>
        <v>90000</v>
      </c>
      <c r="M36" s="2">
        <f t="shared" si="4"/>
        <v>90000</v>
      </c>
      <c r="N36" s="2">
        <f>N34*$E$21</f>
        <v>75000</v>
      </c>
      <c r="O36" s="2"/>
      <c r="P36" s="2"/>
      <c r="Q36" s="2"/>
      <c r="R36" s="2">
        <f t="shared" si="1"/>
        <v>600000</v>
      </c>
    </row>
    <row r="37" spans="2:18" x14ac:dyDescent="0.35">
      <c r="B37" s="2"/>
      <c r="C37" s="2"/>
      <c r="D37" s="2" t="s">
        <v>8</v>
      </c>
      <c r="E37" s="2">
        <f>E32+E36</f>
        <v>460000</v>
      </c>
      <c r="F37" s="2">
        <f>F32+F36</f>
        <v>805000</v>
      </c>
      <c r="G37" s="5">
        <f>G32+G36</f>
        <v>230000</v>
      </c>
      <c r="H37" s="5">
        <f>H32+H36</f>
        <v>690000</v>
      </c>
      <c r="I37" s="5">
        <f>I32+I36</f>
        <v>690000</v>
      </c>
      <c r="J37" s="2">
        <f>J32+J36</f>
        <v>920000</v>
      </c>
      <c r="K37" s="2">
        <f>K32+K36</f>
        <v>1380000</v>
      </c>
      <c r="L37" s="2">
        <f>L32+L36</f>
        <v>690000</v>
      </c>
      <c r="M37" s="2">
        <f>M32+M36</f>
        <v>690000</v>
      </c>
      <c r="N37" s="2">
        <f>N32+N36</f>
        <v>575000</v>
      </c>
      <c r="O37" s="2"/>
      <c r="P37" s="2"/>
      <c r="Q37" s="2"/>
      <c r="R37" s="2">
        <f t="shared" si="1"/>
        <v>600000</v>
      </c>
    </row>
    <row r="38" spans="2:18" x14ac:dyDescent="0.35">
      <c r="B38" s="2"/>
      <c r="C38" s="2"/>
      <c r="D38" s="6" t="s">
        <v>32</v>
      </c>
      <c r="E38" s="2">
        <f>E37</f>
        <v>460000</v>
      </c>
      <c r="F38" s="2">
        <f>E38+F37</f>
        <v>1265000</v>
      </c>
      <c r="G38" s="5">
        <f>F38+G37</f>
        <v>1495000</v>
      </c>
      <c r="H38" s="5">
        <f t="shared" ref="H38:N38" si="5">G38+H37</f>
        <v>2185000</v>
      </c>
      <c r="I38" s="5">
        <f t="shared" si="5"/>
        <v>2875000</v>
      </c>
      <c r="J38" s="2">
        <f t="shared" si="5"/>
        <v>3795000</v>
      </c>
      <c r="K38" s="2">
        <f t="shared" si="5"/>
        <v>5175000</v>
      </c>
      <c r="L38" s="2">
        <f t="shared" si="5"/>
        <v>5865000</v>
      </c>
      <c r="M38" s="2">
        <f t="shared" si="5"/>
        <v>6555000</v>
      </c>
      <c r="N38" s="2">
        <f>M38+N37</f>
        <v>7130000</v>
      </c>
      <c r="O38" s="2"/>
      <c r="P38" s="2"/>
      <c r="Q38" s="2"/>
      <c r="R38" s="2">
        <f t="shared" si="1"/>
        <v>600000</v>
      </c>
    </row>
    <row r="39" spans="2:18" x14ac:dyDescent="0.35">
      <c r="B39" s="2"/>
      <c r="C39" s="2"/>
      <c r="D39" s="2" t="s">
        <v>33</v>
      </c>
      <c r="E39" s="2">
        <f>E37</f>
        <v>460000</v>
      </c>
      <c r="F39" s="2">
        <f t="shared" ref="F39:N39" si="6">F37</f>
        <v>805000</v>
      </c>
      <c r="G39" s="2">
        <f t="shared" si="6"/>
        <v>230000</v>
      </c>
      <c r="H39" s="2">
        <f t="shared" si="6"/>
        <v>690000</v>
      </c>
      <c r="I39" s="2">
        <f t="shared" si="6"/>
        <v>690000</v>
      </c>
      <c r="J39" s="2">
        <f t="shared" si="6"/>
        <v>920000</v>
      </c>
      <c r="K39" s="2">
        <f t="shared" si="6"/>
        <v>1380000</v>
      </c>
      <c r="L39" s="2">
        <f t="shared" si="6"/>
        <v>690000</v>
      </c>
      <c r="M39" s="2">
        <f t="shared" si="6"/>
        <v>690000</v>
      </c>
      <c r="N39" s="2">
        <f t="shared" si="6"/>
        <v>575000</v>
      </c>
      <c r="O39" s="2"/>
      <c r="P39" s="2"/>
      <c r="Q39" s="2"/>
      <c r="R39" s="2">
        <f t="shared" si="1"/>
        <v>600000</v>
      </c>
    </row>
    <row r="40" spans="2:18" x14ac:dyDescent="0.35">
      <c r="B40" s="2"/>
      <c r="C40" s="2"/>
      <c r="D40" s="2" t="s">
        <v>26</v>
      </c>
      <c r="E40" s="2">
        <f>E39*$E$22</f>
        <v>23000</v>
      </c>
      <c r="F40" s="2">
        <f t="shared" ref="F40:M40" si="7">F39*$E$22</f>
        <v>40250</v>
      </c>
      <c r="G40" s="2">
        <f t="shared" si="7"/>
        <v>11500</v>
      </c>
      <c r="H40" s="2">
        <f t="shared" si="7"/>
        <v>34500</v>
      </c>
      <c r="I40" s="2">
        <f t="shared" si="7"/>
        <v>34500</v>
      </c>
      <c r="J40" s="2">
        <f t="shared" si="7"/>
        <v>46000</v>
      </c>
      <c r="K40" s="2">
        <f t="shared" si="7"/>
        <v>69000</v>
      </c>
      <c r="L40" s="2">
        <f t="shared" si="7"/>
        <v>34500</v>
      </c>
      <c r="M40" s="2">
        <f t="shared" si="7"/>
        <v>34500</v>
      </c>
      <c r="N40" s="2">
        <f>N39*$E$22</f>
        <v>28750</v>
      </c>
      <c r="O40" s="2"/>
      <c r="P40" s="2"/>
      <c r="Q40" s="2"/>
      <c r="R40" s="2">
        <f t="shared" si="1"/>
        <v>600000</v>
      </c>
    </row>
    <row r="41" spans="2:18" x14ac:dyDescent="0.35">
      <c r="B41" s="2"/>
      <c r="C41" s="2"/>
      <c r="D41" s="2" t="s">
        <v>27</v>
      </c>
      <c r="E41" s="2">
        <f>E40</f>
        <v>23000</v>
      </c>
      <c r="F41" s="2">
        <f>E41+F40</f>
        <v>63250</v>
      </c>
      <c r="G41" s="5">
        <f>F41+G40</f>
        <v>74750</v>
      </c>
      <c r="H41" s="5">
        <f>G41+H40</f>
        <v>109250</v>
      </c>
      <c r="I41" s="5">
        <f t="shared" ref="I41:M41" si="8">H41+I40</f>
        <v>143750</v>
      </c>
      <c r="J41" s="2">
        <f t="shared" si="8"/>
        <v>189750</v>
      </c>
      <c r="K41" s="2">
        <f t="shared" si="8"/>
        <v>258750</v>
      </c>
      <c r="L41" s="2">
        <f t="shared" si="8"/>
        <v>293250</v>
      </c>
      <c r="M41" s="2">
        <f t="shared" si="8"/>
        <v>327750</v>
      </c>
      <c r="N41" s="2">
        <f>M41+N40</f>
        <v>356500</v>
      </c>
      <c r="O41" s="2"/>
      <c r="P41" s="2"/>
      <c r="Q41" s="2"/>
      <c r="R41" s="2">
        <f t="shared" si="1"/>
        <v>600000</v>
      </c>
    </row>
    <row r="42" spans="2:18" x14ac:dyDescent="0.35">
      <c r="B42" s="2"/>
      <c r="C42" s="2"/>
      <c r="D42" s="2" t="s">
        <v>28</v>
      </c>
      <c r="E42" s="2">
        <v>0</v>
      </c>
      <c r="F42" s="2">
        <f>E39-E40</f>
        <v>437000</v>
      </c>
      <c r="G42" s="2">
        <f>F39-F40</f>
        <v>764750</v>
      </c>
      <c r="H42" s="2">
        <f>G39-G40</f>
        <v>218500</v>
      </c>
      <c r="I42" s="2">
        <f>H39-H40</f>
        <v>655500</v>
      </c>
      <c r="J42" s="2">
        <f>I39-I40</f>
        <v>655500</v>
      </c>
      <c r="K42" s="2">
        <f>J39-J40</f>
        <v>874000</v>
      </c>
      <c r="L42" s="2">
        <f>K39-K40</f>
        <v>1311000</v>
      </c>
      <c r="M42" s="2">
        <f>L39-L40</f>
        <v>655500</v>
      </c>
      <c r="N42" s="2">
        <f>M39-M40</f>
        <v>655500</v>
      </c>
      <c r="O42" s="2">
        <f>N39-N40</f>
        <v>546250</v>
      </c>
      <c r="P42" s="2"/>
      <c r="Q42" s="2"/>
      <c r="R42" s="2">
        <f t="shared" si="1"/>
        <v>600000</v>
      </c>
    </row>
    <row r="43" spans="2:18" x14ac:dyDescent="0.35">
      <c r="B43" s="2"/>
      <c r="C43" s="2"/>
      <c r="D43" s="2" t="s">
        <v>29</v>
      </c>
      <c r="E43" s="2">
        <f>E42</f>
        <v>0</v>
      </c>
      <c r="F43" s="2">
        <f>E43+F42</f>
        <v>437000</v>
      </c>
      <c r="G43" s="5">
        <f>F43+G42</f>
        <v>1201750</v>
      </c>
      <c r="H43" s="5">
        <f t="shared" ref="G43:M43" si="9">G43+H42</f>
        <v>1420250</v>
      </c>
      <c r="I43" s="5">
        <f t="shared" si="9"/>
        <v>2075750</v>
      </c>
      <c r="J43" s="2">
        <f t="shared" si="9"/>
        <v>2731250</v>
      </c>
      <c r="K43" s="2">
        <f t="shared" si="9"/>
        <v>3605250</v>
      </c>
      <c r="L43" s="2">
        <f t="shared" si="9"/>
        <v>4916250</v>
      </c>
      <c r="M43" s="2">
        <f t="shared" si="9"/>
        <v>5571750</v>
      </c>
      <c r="N43" s="2">
        <f>M43+N42</f>
        <v>6227250</v>
      </c>
      <c r="O43" s="2"/>
      <c r="P43" s="2"/>
      <c r="Q43" s="2"/>
      <c r="R43" s="2">
        <f t="shared" si="1"/>
        <v>600000</v>
      </c>
    </row>
    <row r="44" spans="2:18" x14ac:dyDescent="0.35">
      <c r="B44" s="2"/>
      <c r="C44" s="2"/>
      <c r="D44" s="2" t="s">
        <v>9</v>
      </c>
      <c r="E44" s="2">
        <f>E35-E43</f>
        <v>400000</v>
      </c>
      <c r="F44" s="2">
        <f>F35-E43</f>
        <v>1100000</v>
      </c>
      <c r="G44" s="2">
        <f t="shared" ref="G44:M44" si="10">G35-F43</f>
        <v>863000</v>
      </c>
      <c r="H44" s="2">
        <f t="shared" si="10"/>
        <v>698250</v>
      </c>
      <c r="I44" s="2">
        <f t="shared" si="10"/>
        <v>1079750</v>
      </c>
      <c r="J44" s="2">
        <f t="shared" si="10"/>
        <v>1224250</v>
      </c>
      <c r="K44" s="2">
        <f>K35-J43</f>
        <v>1768750</v>
      </c>
      <c r="L44" s="2">
        <f t="shared" si="10"/>
        <v>1494750</v>
      </c>
      <c r="M44" s="2">
        <f t="shared" si="10"/>
        <v>783750</v>
      </c>
      <c r="N44" s="2">
        <f>N35-M43</f>
        <v>628250</v>
      </c>
      <c r="O44" s="2"/>
      <c r="P44" s="2"/>
      <c r="Q44" s="2"/>
      <c r="R44" s="2"/>
    </row>
    <row r="50" spans="4:15" x14ac:dyDescent="0.35">
      <c r="E50" t="s">
        <v>13</v>
      </c>
      <c r="F50" t="s">
        <v>14</v>
      </c>
      <c r="G50" t="s">
        <v>15</v>
      </c>
      <c r="H50" t="s">
        <v>16</v>
      </c>
      <c r="I50" t="s">
        <v>6</v>
      </c>
      <c r="J50" t="s">
        <v>17</v>
      </c>
      <c r="K50" t="s">
        <v>18</v>
      </c>
      <c r="L50" t="s">
        <v>19</v>
      </c>
      <c r="M50" t="s">
        <v>20</v>
      </c>
      <c r="N50" t="s">
        <v>21</v>
      </c>
    </row>
    <row r="51" spans="4:15" x14ac:dyDescent="0.35">
      <c r="D51" t="s">
        <v>0</v>
      </c>
      <c r="E51">
        <v>0.5</v>
      </c>
      <c r="F51">
        <v>0.5</v>
      </c>
    </row>
    <row r="52" spans="4:15" x14ac:dyDescent="0.35">
      <c r="D52" t="s">
        <v>1</v>
      </c>
      <c r="F52">
        <v>0.5</v>
      </c>
      <c r="G52">
        <v>0.5</v>
      </c>
      <c r="O52" t="s">
        <v>30</v>
      </c>
    </row>
    <row r="53" spans="4:15" x14ac:dyDescent="0.35">
      <c r="D53" t="s">
        <v>2</v>
      </c>
      <c r="H53">
        <f>1/3</f>
        <v>0.33333333333333331</v>
      </c>
      <c r="I53">
        <f t="shared" ref="I53:J53" si="11">1/3</f>
        <v>0.33333333333333331</v>
      </c>
      <c r="J53">
        <f t="shared" si="11"/>
        <v>0.33333333333333331</v>
      </c>
    </row>
    <row r="54" spans="4:15" x14ac:dyDescent="0.35">
      <c r="D54" t="s">
        <v>3</v>
      </c>
      <c r="H54">
        <v>0.25</v>
      </c>
      <c r="I54">
        <v>0.25</v>
      </c>
      <c r="J54">
        <v>0.25</v>
      </c>
      <c r="K54">
        <v>0.25</v>
      </c>
    </row>
    <row r="55" spans="4:15" x14ac:dyDescent="0.35">
      <c r="D55" t="s">
        <v>4</v>
      </c>
      <c r="J55">
        <v>0.5</v>
      </c>
      <c r="K55">
        <v>0.5</v>
      </c>
    </row>
    <row r="56" spans="4:15" x14ac:dyDescent="0.35">
      <c r="D56" t="s">
        <v>5</v>
      </c>
      <c r="L56">
        <v>0.5</v>
      </c>
      <c r="M56">
        <v>0.5</v>
      </c>
    </row>
    <row r="57" spans="4:15" x14ac:dyDescent="0.35">
      <c r="D57" t="s">
        <v>10</v>
      </c>
      <c r="L57">
        <v>1</v>
      </c>
    </row>
    <row r="58" spans="4:15" x14ac:dyDescent="0.35">
      <c r="D58" t="s">
        <v>11</v>
      </c>
      <c r="N58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Arshad</dc:creator>
  <cp:lastModifiedBy>0302</cp:lastModifiedBy>
  <dcterms:created xsi:type="dcterms:W3CDTF">2023-01-17T16:11:34Z</dcterms:created>
  <dcterms:modified xsi:type="dcterms:W3CDTF">2023-01-21T18:10:06Z</dcterms:modified>
</cp:coreProperties>
</file>